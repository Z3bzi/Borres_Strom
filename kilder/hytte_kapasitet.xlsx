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utsetninger" sheetId="1" state="visible" r:id="rId3"/>
    <sheet name="Last" sheetId="2" state="visible" r:id="rId4"/>
    <sheet name="Resultat" sheetId="3" state="visible" r:id="rId5"/>
    <sheet name="Sol Kragerø" sheetId="4" state="visible" r:id="rId6"/>
    <sheet name="Bruksmøn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<sst xmlns="http://schemas.openxmlformats.org/spreadsheetml/2006/main" count="260" uniqueCount="197">
  <si>
    <t xml:space="preserve">Forutsetninger - hytte offgrid</t>
  </si>
  <si>
    <t xml:space="preserve">Gule celler med blå tekst er inndata du kan endre. Alt annet regnes ut.</t>
  </si>
  <si>
    <t xml:space="preserve">Parameter</t>
  </si>
  <si>
    <t xml:space="preserve">Verdi</t>
  </si>
  <si>
    <t xml:space="preserve">Enhet</t>
  </si>
  <si>
    <t xml:space="preserve">Merknad</t>
  </si>
  <si>
    <t xml:space="preserve">Autonomidager (uten sol og generator)</t>
  </si>
  <si>
    <t xml:space="preserve">dager</t>
  </si>
  <si>
    <t xml:space="preserve">Antagelse: 1 dag for sommerhytte. Endre etter hvor lenge batteriet skal klare seg alene.</t>
  </si>
  <si>
    <t xml:space="preserve">Brukbar batterikapasitet (DoD)</t>
  </si>
  <si>
    <t xml:space="preserve">andel</t>
  </si>
  <si>
    <t xml:space="preserve">Typisk 0,8-0,9 for LiFePO4. Bly-syre bør ikke over 0,5.</t>
  </si>
  <si>
    <t xml:space="preserve">Vekselretterens virkningsgrad</t>
  </si>
  <si>
    <t xml:space="preserve">Typisk 0,85-0,93. Sjekk databladet.</t>
  </si>
  <si>
    <t xml:space="preserve">Headroom (sikkerhetsmargin)</t>
  </si>
  <si>
    <t xml:space="preserve">Etter ønske om margin. Brukes på forbruk og effekt.</t>
  </si>
  <si>
    <t xml:space="preserve">Soltimer per døgn, skuldersesong (sept)</t>
  </si>
  <si>
    <t xml:space="preserve">kWh/kWp/døgn</t>
  </si>
  <si>
    <t xml:space="preserve">Kragerø, sept: 1014 kWh per 10 kWp, 30 grader sør, delt på 30 dager (solkart.no). Se fanen Sol Kragerø.</t>
  </si>
  <si>
    <t xml:space="preserve">Soltimer per døgn, vinter (des)</t>
  </si>
  <si>
    <t xml:space="preserve">Kragerø, des: 126 kWh per 10 kWp, delt på 31 dager (solkart.no).</t>
  </si>
  <si>
    <t xml:space="preserve">Systemtap solceller</t>
  </si>
  <si>
    <t xml:space="preserve">Kildens tall har allerede ca. 18 % tap inkludert. 0,9 er en antagelse for MPPT, kabling og ladetap i batteriet.</t>
  </si>
  <si>
    <t xml:space="preserve">Installert solcelleeffekt</t>
  </si>
  <si>
    <t xml:space="preserve">kWp</t>
  </si>
  <si>
    <t xml:space="preserve">Eksempelverdi. Sett inn det du planlegger.</t>
  </si>
  <si>
    <t xml:space="preserve">Maks ladestrøm batteri (C-rate)</t>
  </si>
  <si>
    <t xml:space="preserve">C</t>
  </si>
  <si>
    <t xml:space="preserve">Typisk 0,2-0,5 C. Sjekk batteriets datablad.</t>
  </si>
  <si>
    <t xml:space="preserve">Lader/generator virkningsgrad</t>
  </si>
  <si>
    <t xml:space="preserve">AC til DC-lading. Typisk 0,88-0,94.</t>
  </si>
  <si>
    <t xml:space="preserve">Strøm per liter drivstoff (generator)</t>
  </si>
  <si>
    <t xml:space="preserve">kWh/l</t>
  </si>
  <si>
    <t xml:space="preserve">Diesel i lite aggregat ca. 2-3. Bensin ca. 1,5-2.</t>
  </si>
  <si>
    <t xml:space="preserve">Bruksdager med vinterforhold per år</t>
  </si>
  <si>
    <t xml:space="preserve">Antagelse: ekstremt sjelden bruk om vinteren. Endre etter faktisk bruk.</t>
  </si>
  <si>
    <t xml:space="preserve">Bruksdager i skuldersesong/sommer per år</t>
  </si>
  <si>
    <t xml:space="preserve">Antagelse. Endre etter faktisk bruk.</t>
  </si>
  <si>
    <t xml:space="preserve">Lastliste</t>
  </si>
  <si>
    <t xml:space="preserve">Gule celler med blå tekst er inndata. Type: Fast = går kontinuerlig/daglig, Verktøy = sjelden bruk (bare største teller i toppeffekt). Rader med antall 0 er forslag du ikke har oppgitt.</t>
  </si>
  <si>
    <t xml:space="preserve">Forbruker</t>
  </si>
  <si>
    <t xml:space="preserve">Type</t>
  </si>
  <si>
    <t xml:space="preserve">Antall</t>
  </si>
  <si>
    <t xml:space="preserve">Effekt per stk (W)</t>
  </si>
  <si>
    <t xml:space="preserve">Timer per døgn</t>
  </si>
  <si>
    <t xml:space="preserve">Startfaktor</t>
  </si>
  <si>
    <t xml:space="preserve">Energi (Wh/døgn)</t>
  </si>
  <si>
    <t xml:space="preserve">Topp (W)</t>
  </si>
  <si>
    <t xml:space="preserve">Kontinuerlig (W)</t>
  </si>
  <si>
    <t xml:space="preserve">Starlink</t>
  </si>
  <si>
    <t xml:space="preserve">Fast</t>
  </si>
  <si>
    <t xml:space="preserve">Antagelse ca. 70 W snitt (Standard). Mini ca. 25-40 W. Sjekk din modell.</t>
  </si>
  <si>
    <t xml:space="preserve">Ruter / Wi-Fi / switch</t>
  </si>
  <si>
    <t xml:space="preserve">Antagelse.</t>
  </si>
  <si>
    <t xml:space="preserve">LOGO! 9 + liten server (Pi)</t>
  </si>
  <si>
    <t xml:space="preserve">Antagelse: LOGO! ca. 3 W + Raspberry Pi ca. 4 W + gateway.</t>
  </si>
  <si>
    <t xml:space="preserve">Vekselretter, tomgang</t>
  </si>
  <si>
    <t xml:space="preserve">Antagelse. Typisk 15-35 W for 3-5 kVA. Sjekk databladet.</t>
  </si>
  <si>
    <t xml:space="preserve">Mobilladere (6 personer)</t>
  </si>
  <si>
    <t xml:space="preserve">Antagelse: ca. 15 Wh per lading inkl. tap.</t>
  </si>
  <si>
    <t xml:space="preserve">Nettbrettladere</t>
  </si>
  <si>
    <t xml:space="preserve">Antagelse: 3 nettbrett. Endre antall.</t>
  </si>
  <si>
    <t xml:space="preserve">LED-belysning</t>
  </si>
  <si>
    <t xml:space="preserve">Antagelse: 12 armaturer à 8 W, 5 timer per kveld.</t>
  </si>
  <si>
    <t xml:space="preserve">Vedkløyver (el)</t>
  </si>
  <si>
    <t xml:space="preserve">Verktøy</t>
  </si>
  <si>
    <t xml:space="preserve">Antagelse: sjelden bruk, snitt 0,25 t/døgn. Startfaktor 3 for motorstart.</t>
  </si>
  <si>
    <t xml:space="preserve">Verktøy (sag, drill)</t>
  </si>
  <si>
    <t xml:space="preserve">Antagelse: sjelden bruk.</t>
  </si>
  <si>
    <t xml:space="preserve">Kjøleskap</t>
  </si>
  <si>
    <t xml:space="preserve">Antagelse: ca. 60 W når kompressoren går, ca. 8 t gange per døgn. Sjekk typeskiltet.</t>
  </si>
  <si>
    <t xml:space="preserve">Vannpumpe</t>
  </si>
  <si>
    <t xml:space="preserve">Antagelse: ca. 150 W, ca. 0,5 t per døgn. Sjekk typeskiltet.</t>
  </si>
  <si>
    <t xml:space="preserve">Annet (fyll inn)</t>
  </si>
  <si>
    <t xml:space="preserve">Ledig rad.</t>
  </si>
  <si>
    <t xml:space="preserve">Sum energi per døgn</t>
  </si>
  <si>
    <t xml:space="preserve">Wh/døgn</t>
  </si>
  <si>
    <t xml:space="preserve">Resultat - kapasitet og forbruk</t>
  </si>
  <si>
    <t xml:space="preserve">Alt her er formler. Endre tall i Forutsetninger og Last.</t>
  </si>
  <si>
    <t xml:space="preserve">Størrelse</t>
  </si>
  <si>
    <t xml:space="preserve">Forklaring</t>
  </si>
  <si>
    <t xml:space="preserve">Forbruk</t>
  </si>
  <si>
    <t xml:space="preserve">Daglig forbruk</t>
  </si>
  <si>
    <t xml:space="preserve">Sum fra Last.</t>
  </si>
  <si>
    <t xml:space="preserve">Daglig forbruk inkl. headroom</t>
  </si>
  <si>
    <t xml:space="preserve">kWh/døgn</t>
  </si>
  <si>
    <t xml:space="preserve">Forbruk x (1 + headroom).</t>
  </si>
  <si>
    <t xml:space="preserve">Snittlast inkl. headroom</t>
  </si>
  <si>
    <t xml:space="preserve">W</t>
  </si>
  <si>
    <t xml:space="preserve">Daglig forbruk delt på 24 t.</t>
  </si>
  <si>
    <t xml:space="preserve">Effekt</t>
  </si>
  <si>
    <t xml:space="preserve">Fast last, kontinuerlig</t>
  </si>
  <si>
    <t xml:space="preserve">Sum av rader med type Fast.</t>
  </si>
  <si>
    <t xml:space="preserve">Største verktøy, kontinuerlig</t>
  </si>
  <si>
    <t xml:space="preserve">Verktøy brukes ikke samtidig.</t>
  </si>
  <si>
    <t xml:space="preserve">Vekselretter, min. kontinuerlig</t>
  </si>
  <si>
    <t xml:space="preserve">Fast last + største verktøy, inkl. headroom.</t>
  </si>
  <si>
    <t xml:space="preserve">Toppeffekt (fast + største start)</t>
  </si>
  <si>
    <t xml:space="preserve">Med startfaktor på verktøyet.</t>
  </si>
  <si>
    <t xml:space="preserve">Toppeffekt inkl. headroom</t>
  </si>
  <si>
    <t xml:space="preserve">Surge-krav til vekselretter og generator.</t>
  </si>
  <si>
    <t xml:space="preserve">Batteri</t>
  </si>
  <si>
    <t xml:space="preserve">Energi fra DC-siden per døgn</t>
  </si>
  <si>
    <t xml:space="preserve">Daglig forbruk delt på vekselretterens virkningsgrad.</t>
  </si>
  <si>
    <t xml:space="preserve">Batteri, nødvendig nominell kapasitet</t>
  </si>
  <si>
    <t xml:space="preserve">kWh</t>
  </si>
  <si>
    <t xml:space="preserve">Forbruk x autonomidager / (DoD x virkningsgrad).</t>
  </si>
  <si>
    <t xml:space="preserve">Batteriets ladeeffekt (DC)</t>
  </si>
  <si>
    <t xml:space="preserve">kW</t>
  </si>
  <si>
    <t xml:space="preserve">Kapasitet x C-rate.</t>
  </si>
  <si>
    <t xml:space="preserve">Solceller</t>
  </si>
  <si>
    <t xml:space="preserve">Solcelleeffekt for å dekke forbruket, skuldersesong (sept)</t>
  </si>
  <si>
    <t xml:space="preserve">Uten generator.</t>
  </si>
  <si>
    <t xml:space="preserve">Solcelleeffekt for å dekke forbruket, vinter (des)</t>
  </si>
  <si>
    <t xml:space="preserve">Uten generator. Viser at generator tar mørketida.</t>
  </si>
  <si>
    <t xml:space="preserve">Solproduksjon med installert effekt, skuldersesong (sept)</t>
  </si>
  <si>
    <t xml:space="preserve">Installert kWp x soltimer x tap.</t>
  </si>
  <si>
    <t xml:space="preserve">Solproduksjon med installert effekt, vinter (des)</t>
  </si>
  <si>
    <t xml:space="preserve">Generator</t>
  </si>
  <si>
    <t xml:space="preserve">Underskudd per døgn, skuldersesong (sept)</t>
  </si>
  <si>
    <t xml:space="preserve">Det generatoren må lade inn (DC).</t>
  </si>
  <si>
    <t xml:space="preserve">Underskudd per døgn, vinter (des)</t>
  </si>
  <si>
    <t xml:space="preserve">Generatorgangtid per døgn, skuldersesong (sept)</t>
  </si>
  <si>
    <t xml:space="preserve">t/døgn</t>
  </si>
  <si>
    <t xml:space="preserve">Generatorgangtid per døgn, vinter (des)</t>
  </si>
  <si>
    <t xml:space="preserve">Generator, min. kontinuerlig</t>
  </si>
  <si>
    <t xml:space="preserve">Største av last og lading + snittlast.</t>
  </si>
  <si>
    <t xml:space="preserve">Generator, min. toppeffekt (surge)</t>
  </si>
  <si>
    <t xml:space="preserve">Må tåle motorstart (vedkløyver).</t>
  </si>
  <si>
    <t xml:space="preserve">Drivstoff</t>
  </si>
  <si>
    <t xml:space="preserve">Generator elektrisk energi per døgn, skuldersesong (sept)</t>
  </si>
  <si>
    <t xml:space="preserve">Underskudd delt på laderens virkningsgrad.</t>
  </si>
  <si>
    <t xml:space="preserve">Generator elektrisk energi per døgn, vinter (des)</t>
  </si>
  <si>
    <t xml:space="preserve">Drivstoff per døgn, skuldersesong (sept)</t>
  </si>
  <si>
    <t xml:space="preserve">liter</t>
  </si>
  <si>
    <t xml:space="preserve">Energi delt på kWh per liter.</t>
  </si>
  <si>
    <t xml:space="preserve">Drivstoff per døgn, vinter (des)</t>
  </si>
  <si>
    <t xml:space="preserve">Drivstoff per år</t>
  </si>
  <si>
    <t xml:space="preserve">Døgnforbruk x bruksdager.</t>
  </si>
  <si>
    <t xml:space="preserve">Solproduksjon Kragerø per måned</t>
  </si>
  <si>
    <t xml:space="preserve">Kilde: solkart.no/kommune/kragero, 10 kWp sør, 30 graders helning, inkl. snø- og skittap. Mars og oktober er ikke oppgitt i kilden. Gule celler er inndata.</t>
  </si>
  <si>
    <t xml:space="preserve">Måned</t>
  </si>
  <si>
    <t xml:space="preserve">Dager</t>
  </si>
  <si>
    <t xml:space="preserve">kWh per 10 kWp (kilde)</t>
  </si>
  <si>
    <t xml:space="preserve">Produksjon (kWh/døgn)</t>
  </si>
  <si>
    <t xml:space="preserve">Forbruk DC (kWh/døgn)</t>
  </si>
  <si>
    <t xml:space="preserve">Balanse (kWh/døgn)</t>
  </si>
  <si>
    <t xml:space="preserve">Dekning</t>
  </si>
  <si>
    <t xml:space="preserve">Januar</t>
  </si>
  <si>
    <t xml:space="preserve">Februar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</si>
  <si>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</si>
  <si>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</si>
  <si>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</si>
  <si>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</si>
  <si>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</si>
  <si>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</si>
  <si>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November</t>
  </si>
  <si>
    <t xml:space="preserve">Desember</t>
  </si>
  <si>
    <t xml:space="preserve">Bruksmønster og månedlig energibalanse</t>
  </si>
  <si>
    <t xml:space="preserve">Antagelse fra deg: helgebruk, men folk der hver dag fra midten av juni til midten av august. Gule celler er inndata. Solproduksjon hentes fra fanen Sol Kragerø.</t>
  </si>
  <si>
    <t xml:space="preserve">Standby-effekt når ingen er der (W)</t>
  </si>
  <si>
    <t xml:space="preserve">Starlink på 24/7 for fjernovervåking: Starlink 70 + ruter 12 + LOGO!/Pi 8 + vekselretter tomgang 25 W (antagelser).</t>
  </si>
  <si>
    <t xml:space="preserve">Dager per helg med folk</t>
  </si>
  <si>
    <t xml:space="preserve">Antagelse: lørdag og søndag.</t>
  </si>
  <si>
    <t xml:space="preserve">Dager med folk</t>
  </si>
  <si>
    <t xml:space="preserve">Forbruk (kWh/mnd)</t>
  </si>
  <si>
    <t xml:space="preserve">Produksjon (kWh/mnd)</t>
  </si>
  <si>
    <t xml:space="preserve">Balanse (kWh/mnd)</t>
  </si>
  <si>
    <t xml:space="preserve">Lukket.</t>
  </si>
  <si>
    <t xml:space="preserve">Antagelse: 2 helger.</t>
  </si>
  <si>
    <t xml:space="preserve">Antagelse: 4 helger.</t>
  </si>
  <si>
    <t xml:space="preserve">8 helgedager + 15 dager fra midten av juni.</t>
  </si>
  <si>
    <t xml:space="preserve">Folk der hele måneden.</t>
  </si>
  <si>
    <t xml:space="preserve">15 dager i første halvdel + 10 helgedager.</t>
  </si>
  <si>
    <t xml:space="preserve">Sum per år</t>
  </si>
  <si>
    <t xml:space="preserve">Helgesjekk, september (dårlig vær)</t>
  </si>
  <si>
    <t xml:space="preserve">Behov i en helg (kWh DC)</t>
  </si>
  <si>
    <t xml:space="preserve">Dager per helg x daglig forbruk DC.</t>
  </si>
  <si>
    <t xml:space="preserve">Sol i en helg i september (kWh DC)</t>
  </si>
  <si>
    <t xml:space="preserve">Gjennomsnitt. Overskyet helg gir mye mindre.</t>
  </si>
  <si>
    <t xml:space="preserve">Brukbart batteri (kWh DC)</t>
  </si>
  <si>
    <t xml:space="preserve">Nominell kapasitet fra Resultat x DoD. Batteriet er fullt ved ankomst.</t>
  </si>
  <si>
    <t xml:space="preserve">Dekning helg uten sol</t>
  </si>
  <si>
    <t xml:space="preserve">Hvor mye av helgen batteriet alene dekker. Under 100 % betyr generator eller kutt i last.</t>
  </si>
  <si>
    <t xml:space="preserve">Overvåkingsløsninger, vinter (nov-feb, grovt)</t>
  </si>
  <si>
    <t xml:space="preserve">Løsning</t>
  </si>
  <si>
    <t xml:space="preserve">Effekt (W)</t>
  </si>
  <si>
    <t xml:space="preserve">Forbruk (kWh/døgn)</t>
  </si>
  <si>
    <t xml:space="preserve">Forbruk nov-feb (kWh)</t>
  </si>
  <si>
    <t xml:space="preserve">Produksjon nov-feb (kWh)</t>
  </si>
  <si>
    <t xml:space="preserve">Underskudd (kWh)</t>
  </si>
  <si>
    <t xml:space="preserve">Drivstoff (l)</t>
  </si>
  <si>
    <t xml:space="preserve">Starlink på 24/7 (som i tabellen over)</t>
  </si>
  <si>
    <t xml:space="preserve">Starlink Mini på DC, 24/7 (ca. 30 W + 8 W)</t>
  </si>
  <si>
    <t xml:space="preserve">4G-ruter 24/7 (ca. 5 W + 8 W)</t>
  </si>
  <si>
    <t xml:space="preserve">Starlink 1 t/døgn på timer (+ 8 W kontroll)</t>
  </si>
  <si>
    <t xml:space="preserve">Effektene er antagelser (sjekk databladene). Mars og oktober er ikke med i kilden. Underskuddet er summert over perioden, så batteriet må i praksis også dekke tidsvariasjon og snødekte paneler.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</si>
</sst>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%"/>
    <numFmt numFmtId="167" formatCode="0.00"/>
    <numFmt numFmtId="168" formatCode="0"/>
    <numFmt numFmtId="169" formatCode="#,##0"/>
    <numFmt numFmtId="170" formatCode="0.0;\-0.0;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FFFF99"/>
        <bgColor rgb="FFFFFFCC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</v>
      </c>
      <c r="C5" s="4" t="s">
        <v>7</v>
      </c>
      <c r="D5" s="2" t="s">
        <v>8</v>
      </c>
    </row>
    <row r="6" customFormat="false" ht="15" hidden="false" customHeight="false" outlineLevel="0" collapsed="false">
      <c r="A6" s="4" t="s">
        <v>9</v>
      </c>
      <c r="B6" s="6" t="n">
        <v>0.8</v>
      </c>
      <c r="C6" s="4" t="s">
        <v>10</v>
      </c>
      <c r="D6" s="2" t="s">
        <v>11</v>
      </c>
    </row>
    <row r="7" customFormat="false" ht="15" hidden="false" customHeight="false" outlineLevel="0" collapsed="false">
      <c r="A7" s="4" t="s">
        <v>12</v>
      </c>
      <c r="B7" s="6" t="n">
        <v>0.9</v>
      </c>
      <c r="C7" s="4" t="s">
        <v>10</v>
      </c>
      <c r="D7" s="2" t="s">
        <v>13</v>
      </c>
    </row>
    <row r="8" customFormat="false" ht="15" hidden="false" customHeight="false" outlineLevel="0" collapsed="false">
      <c r="A8" s="4" t="s">
        <v>14</v>
      </c>
      <c r="B8" s="6" t="n">
        <v>0.25</v>
      </c>
      <c r="C8" s="4" t="s">
        <v>10</v>
      </c>
      <c r="D8" s="2" t="s">
        <v>15</v>
      </c>
    </row>
    <row r="9" customFormat="false" ht="15" hidden="false" customHeight="false" outlineLevel="0" collapsed="false">
      <c r="A9" s="4" t="s">
        <v>16</v>
      </c>
      <c r="B9" s="5" t="n">
        <v>3.4</v>
      </c>
      <c r="C9" s="4" t="s">
        <v>17</v>
      </c>
      <c r="D9" s="2" t="s">
        <v>18</v>
      </c>
    </row>
    <row r="10" customFormat="false" ht="15" hidden="false" customHeight="false" outlineLevel="0" collapsed="false">
      <c r="A10" s="4" t="s">
        <v>19</v>
      </c>
      <c r="B10" s="5" t="n">
        <v>0.4</v>
      </c>
      <c r="C10" s="4" t="s">
        <v>17</v>
      </c>
      <c r="D10" s="2" t="s">
        <v>20</v>
      </c>
    </row>
    <row r="11" customFormat="false" ht="15" hidden="false" customHeight="false" outlineLevel="0" collapsed="false">
      <c r="A11" s="4" t="s">
        <v>21</v>
      </c>
      <c r="B11" s="6" t="n">
        <v>0.9</v>
      </c>
      <c r="C11" s="4" t="s">
        <v>10</v>
      </c>
      <c r="D11" s="2" t="s">
        <v>22</v>
      </c>
    </row>
    <row r="12" customFormat="false" ht="15" hidden="false" customHeight="false" outlineLevel="0" collapsed="false">
      <c r="A12" s="4" t="s">
        <v>23</v>
      </c>
      <c r="B12" s="5" t="n">
        <v>2</v>
      </c>
      <c r="C12" s="4" t="s">
        <v>24</v>
      </c>
      <c r="D12" s="2" t="s">
        <v>25</v>
      </c>
    </row>
    <row r="13" customFormat="false" ht="15" hidden="false" customHeight="false" outlineLevel="0" collapsed="false">
      <c r="A13" s="4" t="s">
        <v>26</v>
      </c>
      <c r="B13" s="7" t="n">
        <v>0.3</v>
      </c>
      <c r="C13" s="4" t="s">
        <v>27</v>
      </c>
      <c r="D13" s="2" t="s">
        <v>28</v>
      </c>
    </row>
    <row r="14" customFormat="false" ht="15" hidden="false" customHeight="false" outlineLevel="0" collapsed="false">
      <c r="A14" s="4" t="s">
        <v>29</v>
      </c>
      <c r="B14" s="6" t="n">
        <v>0.9</v>
      </c>
      <c r="C14" s="4" t="s">
        <v>10</v>
      </c>
      <c r="D14" s="2" t="s">
        <v>30</v>
      </c>
    </row>
    <row r="15" customFormat="false" ht="15" hidden="false" customHeight="false" outlineLevel="0" collapsed="false">
      <c r="A15" s="4" t="s">
        <v>31</v>
      </c>
      <c r="B15" s="5" t="n">
        <v>2.5</v>
      </c>
      <c r="C15" s="4" t="s">
        <v>32</v>
      </c>
      <c r="D15" s="2" t="s">
        <v>33</v>
      </c>
    </row>
    <row r="16" customFormat="false" ht="15" hidden="false" customHeight="false" outlineLevel="0" collapsed="false">
      <c r="A16" s="4" t="s">
        <v>34</v>
      </c>
      <c r="B16" s="8" t="n">
        <v>5</v>
      </c>
      <c r="C16" s="4" t="s">
        <v>7</v>
      </c>
      <c r="D16" s="2" t="s">
        <v>35</v>
      </c>
    </row>
    <row r="17" customFormat="false" ht="15" hidden="false" customHeight="false" outlineLevel="0" collapsed="false">
      <c r="A17" s="4" t="s">
        <v>36</v>
      </c>
      <c r="B17" s="8" t="n">
        <v>60</v>
      </c>
      <c r="C17" s="4" t="s">
        <v>7</v>
      </c>
      <c r="D17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9" t="s">
        <v>40</v>
      </c>
      <c r="B4" s="9" t="s">
        <v>41</v>
      </c>
      <c r="C4" s="9" t="s">
        <v>42</v>
      </c>
      <c r="D4" s="9" t="s">
        <v>43</v>
      </c>
      <c r="E4" s="9" t="s">
        <v>44</v>
      </c>
      <c r="F4" s="9" t="s">
        <v>45</v>
      </c>
      <c r="G4" s="9" t="s">
        <v>46</v>
      </c>
      <c r="H4" s="9" t="s">
        <v>47</v>
      </c>
      <c r="I4" s="9" t="s">
        <v>48</v>
      </c>
      <c r="J4" s="9" t="s">
        <v>5</v>
      </c>
    </row>
    <row r="5" customFormat="false" ht="15" hidden="false" customHeight="false" outlineLevel="0" collapsed="false">
      <c r="A5" s="10" t="s">
        <v>49</v>
      </c>
      <c r="B5" s="10" t="s">
        <v>50</v>
      </c>
      <c r="C5" s="10" t="n">
        <v>1</v>
      </c>
      <c r="D5" s="10" t="n">
        <v>70</v>
      </c>
      <c r="E5" s="10" t="n">
        <v>24</v>
      </c>
      <c r="F5" s="10" t="n">
        <v>1</v>
      </c>
      <c r="G5" s="11" t="n">
        <f aca="false">C5*D5*E5</f>
        <v>1680</v>
      </c>
      <c r="H5" s="11" t="n">
        <f aca="false">C5*D5*F5</f>
        <v>70</v>
      </c>
      <c r="I5" s="11" t="n">
        <f aca="false">C5*D5</f>
        <v>70</v>
      </c>
      <c r="J5" s="2" t="s">
        <v>51</v>
      </c>
    </row>
    <row r="6" customFormat="false" ht="15" hidden="false" customHeight="false" outlineLevel="0" collapsed="false">
      <c r="A6" s="10" t="s">
        <v>52</v>
      </c>
      <c r="B6" s="10" t="s">
        <v>50</v>
      </c>
      <c r="C6" s="10" t="n">
        <v>1</v>
      </c>
      <c r="D6" s="10" t="n">
        <v>12</v>
      </c>
      <c r="E6" s="10" t="n">
        <v>24</v>
      </c>
      <c r="F6" s="10" t="n">
        <v>1</v>
      </c>
      <c r="G6" s="11" t="n">
        <f aca="false">C6*D6*E6</f>
        <v>288</v>
      </c>
      <c r="H6" s="11" t="n">
        <f aca="false">C6*D6*F6</f>
        <v>12</v>
      </c>
      <c r="I6" s="11" t="n">
        <f aca="false">C6*D6</f>
        <v>12</v>
      </c>
      <c r="J6" s="2" t="s">
        <v>53</v>
      </c>
    </row>
    <row r="7" customFormat="false" ht="15" hidden="false" customHeight="false" outlineLevel="0" collapsed="false">
      <c r="A7" s="10" t="s">
        <v>54</v>
      </c>
      <c r="B7" s="10" t="s">
        <v>50</v>
      </c>
      <c r="C7" s="10" t="n">
        <v>1</v>
      </c>
      <c r="D7" s="10" t="n">
        <v>8</v>
      </c>
      <c r="E7" s="10" t="n">
        <v>24</v>
      </c>
      <c r="F7" s="10" t="n">
        <v>1</v>
      </c>
      <c r="G7" s="11" t="n">
        <f aca="false">C7*D7*E7</f>
        <v>192</v>
      </c>
      <c r="H7" s="11" t="n">
        <f aca="false">C7*D7*F7</f>
        <v>8</v>
      </c>
      <c r="I7" s="11" t="n">
        <f aca="false">C7*D7</f>
        <v>8</v>
      </c>
      <c r="J7" s="2" t="s">
        <v>55</v>
      </c>
    </row>
    <row r="8" customFormat="false" ht="15" hidden="false" customHeight="false" outlineLevel="0" collapsed="false">
      <c r="A8" s="10" t="s">
        <v>56</v>
      </c>
      <c r="B8" s="10" t="s">
        <v>50</v>
      </c>
      <c r="C8" s="10" t="n">
        <v>1</v>
      </c>
      <c r="D8" s="10" t="n">
        <v>25</v>
      </c>
      <c r="E8" s="10" t="n">
        <v>24</v>
      </c>
      <c r="F8" s="10" t="n">
        <v>1</v>
      </c>
      <c r="G8" s="11" t="n">
        <f aca="false">C8*D8*E8</f>
        <v>600</v>
      </c>
      <c r="H8" s="11" t="n">
        <f aca="false">C8*D8*F8</f>
        <v>25</v>
      </c>
      <c r="I8" s="11" t="n">
        <f aca="false">C8*D8</f>
        <v>25</v>
      </c>
      <c r="J8" s="2" t="s">
        <v>57</v>
      </c>
    </row>
    <row r="9" customFormat="false" ht="15" hidden="false" customHeight="false" outlineLevel="0" collapsed="false">
      <c r="A9" s="10" t="s">
        <v>58</v>
      </c>
      <c r="B9" s="10" t="s">
        <v>50</v>
      </c>
      <c r="C9" s="10" t="n">
        <v>6</v>
      </c>
      <c r="D9" s="10" t="n">
        <v>10</v>
      </c>
      <c r="E9" s="10" t="n">
        <v>1.5</v>
      </c>
      <c r="F9" s="10" t="n">
        <v>1</v>
      </c>
      <c r="G9" s="11" t="n">
        <f aca="false">C9*D9*E9</f>
        <v>90</v>
      </c>
      <c r="H9" s="11" t="n">
        <f aca="false">C9*D9*F9</f>
        <v>60</v>
      </c>
      <c r="I9" s="11" t="n">
        <f aca="false">C9*D9</f>
        <v>60</v>
      </c>
      <c r="J9" s="2" t="s">
        <v>59</v>
      </c>
    </row>
    <row r="10" customFormat="false" ht="15" hidden="false" customHeight="false" outlineLevel="0" collapsed="false">
      <c r="A10" s="10" t="s">
        <v>60</v>
      </c>
      <c r="B10" s="10" t="s">
        <v>50</v>
      </c>
      <c r="C10" s="10" t="n">
        <v>3</v>
      </c>
      <c r="D10" s="10" t="n">
        <v>15</v>
      </c>
      <c r="E10" s="10" t="n">
        <v>2</v>
      </c>
      <c r="F10" s="10" t="n">
        <v>1</v>
      </c>
      <c r="G10" s="11" t="n">
        <f aca="false">C10*D10*E10</f>
        <v>90</v>
      </c>
      <c r="H10" s="11" t="n">
        <f aca="false">C10*D10*F10</f>
        <v>45</v>
      </c>
      <c r="I10" s="11" t="n">
        <f aca="false">C10*D10</f>
        <v>45</v>
      </c>
      <c r="J10" s="2" t="s">
        <v>61</v>
      </c>
    </row>
    <row r="11" customFormat="false" ht="15" hidden="false" customHeight="false" outlineLevel="0" collapsed="false">
      <c r="A11" s="10" t="s">
        <v>62</v>
      </c>
      <c r="B11" s="10" t="s">
        <v>50</v>
      </c>
      <c r="C11" s="10" t="n">
        <v>12</v>
      </c>
      <c r="D11" s="10" t="n">
        <v>8</v>
      </c>
      <c r="E11" s="10" t="n">
        <v>5</v>
      </c>
      <c r="F11" s="10" t="n">
        <v>1</v>
      </c>
      <c r="G11" s="11" t="n">
        <f aca="false">C11*D11*E11</f>
        <v>480</v>
      </c>
      <c r="H11" s="11" t="n">
        <f aca="false">C11*D11*F11</f>
        <v>96</v>
      </c>
      <c r="I11" s="11" t="n">
        <f aca="false">C11*D11</f>
        <v>96</v>
      </c>
      <c r="J11" s="2" t="s">
        <v>63</v>
      </c>
    </row>
    <row r="12" customFormat="false" ht="15" hidden="false" customHeight="false" outlineLevel="0" collapsed="false">
      <c r="A12" s="10" t="s">
        <v>64</v>
      </c>
      <c r="B12" s="10" t="s">
        <v>65</v>
      </c>
      <c r="C12" s="10" t="n">
        <v>1</v>
      </c>
      <c r="D12" s="10" t="n">
        <v>2200</v>
      </c>
      <c r="E12" s="10" t="n">
        <v>0.25</v>
      </c>
      <c r="F12" s="10" t="n">
        <v>3</v>
      </c>
      <c r="G12" s="11" t="n">
        <f aca="false">C12*D12*E12</f>
        <v>550</v>
      </c>
      <c r="H12" s="11" t="n">
        <f aca="false">C12*D12*F12</f>
        <v>6600</v>
      </c>
      <c r="I12" s="11" t="n">
        <f aca="false">C12*D12</f>
        <v>2200</v>
      </c>
      <c r="J12" s="2" t="s">
        <v>66</v>
      </c>
    </row>
    <row r="13" customFormat="false" ht="15" hidden="false" customHeight="false" outlineLevel="0" collapsed="false">
      <c r="A13" s="10" t="s">
        <v>67</v>
      </c>
      <c r="B13" s="10" t="s">
        <v>65</v>
      </c>
      <c r="C13" s="10" t="n">
        <v>1</v>
      </c>
      <c r="D13" s="10" t="n">
        <v>1200</v>
      </c>
      <c r="E13" s="10" t="n">
        <v>0.25</v>
      </c>
      <c r="F13" s="10" t="n">
        <v>2</v>
      </c>
      <c r="G13" s="11" t="n">
        <f aca="false">C13*D13*E13</f>
        <v>300</v>
      </c>
      <c r="H13" s="11" t="n">
        <f aca="false">C13*D13*F13</f>
        <v>2400</v>
      </c>
      <c r="I13" s="11" t="n">
        <f aca="false">C13*D13</f>
        <v>1200</v>
      </c>
      <c r="J13" s="2" t="s">
        <v>68</v>
      </c>
    </row>
    <row r="14" customFormat="false" ht="15" hidden="false" customHeight="false" outlineLevel="0" collapsed="false">
      <c r="A14" s="10" t="s">
        <v>69</v>
      </c>
      <c r="B14" s="10" t="s">
        <v>50</v>
      </c>
      <c r="C14" s="10" t="n">
        <v>1</v>
      </c>
      <c r="D14" s="10" t="n">
        <v>60</v>
      </c>
      <c r="E14" s="10" t="n">
        <v>8</v>
      </c>
      <c r="F14" s="10" t="n">
        <v>3</v>
      </c>
      <c r="G14" s="11" t="n">
        <f aca="false">C14*D14*E14</f>
        <v>480</v>
      </c>
      <c r="H14" s="11" t="n">
        <f aca="false">C14*D14*F14</f>
        <v>180</v>
      </c>
      <c r="I14" s="11" t="n">
        <f aca="false">C14*D14</f>
        <v>60</v>
      </c>
      <c r="J14" s="2" t="s">
        <v>70</v>
      </c>
    </row>
    <row r="15" customFormat="false" ht="15" hidden="false" customHeight="false" outlineLevel="0" collapsed="false">
      <c r="A15" s="10" t="s">
        <v>71</v>
      </c>
      <c r="B15" s="10" t="s">
        <v>50</v>
      </c>
      <c r="C15" s="10" t="n">
        <v>1</v>
      </c>
      <c r="D15" s="10" t="n">
        <v>150</v>
      </c>
      <c r="E15" s="10" t="n">
        <v>0.5</v>
      </c>
      <c r="F15" s="10" t="n">
        <v>3</v>
      </c>
      <c r="G15" s="11" t="n">
        <f aca="false">C15*D15*E15</f>
        <v>75</v>
      </c>
      <c r="H15" s="11" t="n">
        <f aca="false">C15*D15*F15</f>
        <v>450</v>
      </c>
      <c r="I15" s="11" t="n">
        <f aca="false">C15*D15</f>
        <v>150</v>
      </c>
      <c r="J15" s="2" t="s">
        <v>72</v>
      </c>
    </row>
    <row r="16" customFormat="false" ht="15" hidden="false" customHeight="false" outlineLevel="0" collapsed="false">
      <c r="A16" s="10" t="s">
        <v>73</v>
      </c>
      <c r="B16" s="10" t="s">
        <v>50</v>
      </c>
      <c r="C16" s="10" t="n">
        <v>0</v>
      </c>
      <c r="D16" s="10" t="n">
        <v>0</v>
      </c>
      <c r="E16" s="10" t="n">
        <v>0</v>
      </c>
      <c r="F16" s="10" t="n">
        <v>1</v>
      </c>
      <c r="G16" s="11" t="n">
        <f aca="false">C16*D16*E16</f>
        <v>0</v>
      </c>
      <c r="H16" s="11" t="n">
        <f aca="false">C16*D16*F16</f>
        <v>0</v>
      </c>
      <c r="I16" s="11" t="n">
        <f aca="false">C16*D16</f>
        <v>0</v>
      </c>
      <c r="J16" s="2" t="s">
        <v>74</v>
      </c>
    </row>
    <row r="18" customFormat="false" ht="15" hidden="false" customHeight="false" outlineLevel="0" collapsed="false">
      <c r="A18" s="12" t="s">
        <v>75</v>
      </c>
      <c r="G18" s="13" t="n">
        <f aca="false">SUM(G5:G16)</f>
        <v>4825</v>
      </c>
      <c r="H18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3" customFormat="false" ht="15" hidden="false" customHeight="false" outlineLevel="0" collapsed="false">
      <c r="A3" s="3" t="s">
        <v>79</v>
      </c>
      <c r="B3" s="3" t="s">
        <v>3</v>
      </c>
      <c r="C3" s="3" t="s">
        <v>4</v>
      </c>
      <c r="D3" s="3" t="s">
        <v>80</v>
      </c>
    </row>
    <row r="4" customFormat="false" ht="15" hidden="false" customHeight="false" outlineLevel="0" collapsed="false">
      <c r="A4" s="14" t="s">
        <v>81</v>
      </c>
      <c r="B4" s="15"/>
      <c r="C4" s="15"/>
      <c r="D4" s="15"/>
    </row>
    <row r="5" customFormat="false" ht="15" hidden="false" customHeight="false" outlineLevel="0" collapsed="false">
      <c r="A5" s="4" t="s">
        <v>82</v>
      </c>
      <c r="B5" s="11" t="n">
        <f aca="false">SUM(Last!G5:G16)</f>
        <v>4825</v>
      </c>
      <c r="C5" s="4" t="s">
        <v>76</v>
      </c>
      <c r="D5" s="2" t="s">
        <v>83</v>
      </c>
    </row>
    <row r="6" customFormat="false" ht="15" hidden="false" customHeight="false" outlineLevel="0" collapsed="false">
      <c r="A6" s="4" t="s">
        <v>84</v>
      </c>
      <c r="B6" s="16" t="n">
        <f aca="false">B5*(1+Forutsetninger!B8)/1000</f>
        <v>6.03125</v>
      </c>
      <c r="C6" s="4" t="s">
        <v>85</v>
      </c>
      <c r="D6" s="2" t="s">
        <v>86</v>
      </c>
    </row>
    <row r="7" customFormat="false" ht="15" hidden="false" customHeight="false" outlineLevel="0" collapsed="false">
      <c r="A7" s="4" t="s">
        <v>87</v>
      </c>
      <c r="B7" s="11" t="n">
        <f aca="false">B6*1000/24</f>
        <v>251.302083333333</v>
      </c>
      <c r="C7" s="4" t="s">
        <v>88</v>
      </c>
      <c r="D7" s="2" t="s">
        <v>89</v>
      </c>
    </row>
    <row r="8" customFormat="false" ht="15" hidden="false" customHeight="false" outlineLevel="0" collapsed="false">
      <c r="A8" s="14" t="s">
        <v>90</v>
      </c>
      <c r="B8" s="15"/>
      <c r="C8" s="15"/>
      <c r="D8" s="15"/>
    </row>
    <row r="9" customFormat="false" ht="15" hidden="false" customHeight="false" outlineLevel="0" collapsed="false">
      <c r="A9" s="4" t="s">
        <v>91</v>
      </c>
      <c r="B9" s="11" t="n">
        <f aca="false">SUMIFS(Last!I5:I16,Last!B5:B16,"Fast")</f>
        <v>526</v>
      </c>
      <c r="C9" s="4" t="s">
        <v>88</v>
      </c>
      <c r="D9" s="2" t="s">
        <v>92</v>
      </c>
    </row>
    <row r="10" customFormat="false" ht="15" hidden="false" customHeight="false" outlineLevel="0" collapsed="false">
      <c r="A10" s="4" t="s">
        <v>93</v>
      </c>
      <c r="B10" s="11" t="n">
        <f aca="false">_xlfn.MAXIFS(Last!I5:I16,Last!B5:B16,"Verktøy")</f>
        <v>2200</v>
      </c>
      <c r="C10" s="4" t="s">
        <v>88</v>
      </c>
      <c r="D10" s="2" t="s">
        <v>94</v>
      </c>
    </row>
    <row r="11" customFormat="false" ht="15" hidden="false" customHeight="false" outlineLevel="0" collapsed="false">
      <c r="A11" s="4" t="s">
        <v>95</v>
      </c>
      <c r="B11" s="11" t="n">
        <f aca="false">(B9+B10)*(1+Forutsetninger!B8)</f>
        <v>3407.5</v>
      </c>
      <c r="C11" s="4" t="s">
        <v>88</v>
      </c>
      <c r="D11" s="2" t="s">
        <v>96</v>
      </c>
    </row>
    <row r="12" customFormat="false" ht="15" hidden="false" customHeight="false" outlineLevel="0" collapsed="false">
      <c r="A12" s="4" t="s">
        <v>97</v>
      </c>
      <c r="B12" s="11" t="n">
        <f aca="false">SUMIFS(Last!H5:H16,Last!B5:B16,"Fast")+_xlfn.MAXIFS(Last!H5:H16,Last!B5:B16,"Verktøy")</f>
        <v>7546</v>
      </c>
      <c r="C12" s="4" t="s">
        <v>88</v>
      </c>
      <c r="D12" s="2" t="s">
        <v>98</v>
      </c>
    </row>
    <row r="13" customFormat="false" ht="15" hidden="false" customHeight="false" outlineLevel="0" collapsed="false">
      <c r="A13" s="4" t="s">
        <v>99</v>
      </c>
      <c r="B13" s="11" t="n">
        <f aca="false">B12*(1+Forutsetninger!B8)</f>
        <v>9432.5</v>
      </c>
      <c r="C13" s="4" t="s">
        <v>88</v>
      </c>
      <c r="D13" s="2" t="s">
        <v>100</v>
      </c>
    </row>
    <row r="14" customFormat="false" ht="15" hidden="false" customHeight="false" outlineLevel="0" collapsed="false">
      <c r="A14" s="14" t="s">
        <v>101</v>
      </c>
      <c r="B14" s="15"/>
      <c r="C14" s="15"/>
      <c r="D14" s="15"/>
    </row>
    <row r="15" customFormat="false" ht="15" hidden="false" customHeight="false" outlineLevel="0" collapsed="false">
      <c r="A15" s="4" t="s">
        <v>102</v>
      </c>
      <c r="B15" s="16" t="n">
        <f aca="false">B6/Forutsetninger!B7</f>
        <v>6.70138888888889</v>
      </c>
      <c r="C15" s="4" t="s">
        <v>85</v>
      </c>
      <c r="D15" s="2" t="s">
        <v>103</v>
      </c>
    </row>
    <row r="16" customFormat="false" ht="15" hidden="false" customHeight="false" outlineLevel="0" collapsed="false">
      <c r="A16" s="4" t="s">
        <v>104</v>
      </c>
      <c r="B16" s="16" t="n">
        <f aca="false">B6*Forutsetninger!B5/(Forutsetninger!B6*Forutsetninger!B7)</f>
        <v>8.37673611111111</v>
      </c>
      <c r="C16" s="4" t="s">
        <v>105</v>
      </c>
      <c r="D16" s="2" t="s">
        <v>106</v>
      </c>
    </row>
    <row r="17" customFormat="false" ht="15" hidden="false" customHeight="false" outlineLevel="0" collapsed="false">
      <c r="A17" s="4" t="s">
        <v>107</v>
      </c>
      <c r="B17" s="16" t="n">
        <f aca="false">B16*Forutsetninger!B13</f>
        <v>2.51302083333333</v>
      </c>
      <c r="C17" s="4" t="s">
        <v>108</v>
      </c>
      <c r="D17" s="2" t="s">
        <v>109</v>
      </c>
    </row>
    <row r="18" customFormat="false" ht="15" hidden="false" customHeight="false" outlineLevel="0" collapsed="false">
      <c r="A18" s="14" t="s">
        <v>110</v>
      </c>
      <c r="B18" s="15"/>
      <c r="C18" s="15"/>
      <c r="D18" s="15"/>
    </row>
    <row r="19" customFormat="false" ht="15" hidden="false" customHeight="false" outlineLevel="0" collapsed="false">
      <c r="A19" s="4" t="s">
        <v>111</v>
      </c>
      <c r="B19" s="16" t="n">
        <f aca="false">B15/(Forutsetninger!B9*Forutsetninger!B11)</f>
        <v>2.18999636891794</v>
      </c>
      <c r="C19" s="4" t="s">
        <v>24</v>
      </c>
      <c r="D19" s="2" t="s">
        <v>112</v>
      </c>
    </row>
    <row r="20" customFormat="false" ht="15" hidden="false" customHeight="false" outlineLevel="0" collapsed="false">
      <c r="A20" s="4" t="s">
        <v>113</v>
      </c>
      <c r="B20" s="16" t="n">
        <f aca="false">B15/(Forutsetninger!B10*Forutsetninger!B11)</f>
        <v>18.6149691358025</v>
      </c>
      <c r="C20" s="4" t="s">
        <v>24</v>
      </c>
      <c r="D20" s="2" t="s">
        <v>114</v>
      </c>
    </row>
    <row r="21" customFormat="false" ht="15" hidden="false" customHeight="false" outlineLevel="0" collapsed="false">
      <c r="A21" s="4" t="s">
        <v>115</v>
      </c>
      <c r="B21" s="16" t="n">
        <f aca="false">Forutsetninger!B12*Forutsetninger!B9*Forutsetninger!B11</f>
        <v>6.12</v>
      </c>
      <c r="C21" s="4" t="s">
        <v>85</v>
      </c>
      <c r="D21" s="2" t="s">
        <v>116</v>
      </c>
    </row>
    <row r="22" customFormat="false" ht="15" hidden="false" customHeight="false" outlineLevel="0" collapsed="false">
      <c r="A22" s="4" t="s">
        <v>117</v>
      </c>
      <c r="B22" s="16" t="n">
        <f aca="false">Forutsetninger!B12*Forutsetninger!B10*Forutsetninger!B11</f>
        <v>0.72</v>
      </c>
      <c r="C22" s="4" t="s">
        <v>85</v>
      </c>
      <c r="D22" s="2" t="s">
        <v>116</v>
      </c>
    </row>
    <row r="23" customFormat="false" ht="15" hidden="false" customHeight="false" outlineLevel="0" collapsed="false">
      <c r="A23" s="14" t="s">
        <v>118</v>
      </c>
      <c r="B23" s="15"/>
      <c r="C23" s="15"/>
      <c r="D23" s="15"/>
    </row>
    <row r="24" customFormat="false" ht="15" hidden="false" customHeight="false" outlineLevel="0" collapsed="false">
      <c r="A24" s="4" t="s">
        <v>119</v>
      </c>
      <c r="B24" s="16" t="n">
        <f aca="false">MAX(0,B15-B21)</f>
        <v>0.581388888888888</v>
      </c>
      <c r="C24" s="4" t="s">
        <v>85</v>
      </c>
      <c r="D24" s="2" t="s">
        <v>120</v>
      </c>
    </row>
    <row r="25" customFormat="false" ht="15" hidden="false" customHeight="false" outlineLevel="0" collapsed="false">
      <c r="A25" s="4" t="s">
        <v>121</v>
      </c>
      <c r="B25" s="16" t="n">
        <f aca="false">MAX(0,B15-B22)</f>
        <v>5.98138888888889</v>
      </c>
      <c r="C25" s="4" t="s">
        <v>85</v>
      </c>
      <c r="D25" s="2" t="s">
        <v>120</v>
      </c>
    </row>
    <row r="26" customFormat="false" ht="15" hidden="false" customHeight="false" outlineLevel="0" collapsed="false">
      <c r="A26" s="4" t="s">
        <v>122</v>
      </c>
      <c r="B26" s="16" t="n">
        <f aca="false">B24/B17</f>
        <v>0.231350604490501</v>
      </c>
      <c r="C26" s="4" t="s">
        <v>123</v>
      </c>
      <c r="D26" s="2" t="str">
        <f aca="false">IF(B26&gt;8,"OBS: mange timer - øk solceller/batteri","OK")</f>
        <v>OK</v>
      </c>
    </row>
    <row r="27" customFormat="false" ht="15" hidden="false" customHeight="false" outlineLevel="0" collapsed="false">
      <c r="A27" s="4" t="s">
        <v>124</v>
      </c>
      <c r="B27" s="16" t="n">
        <f aca="false">B25/B17</f>
        <v>2.38015889464594</v>
      </c>
      <c r="C27" s="4" t="s">
        <v>123</v>
      </c>
      <c r="D27" s="2" t="str">
        <f aca="false">IF(B27&gt;8,"OBS: mange timer - øk solceller/batteri","OK")</f>
        <v>OK</v>
      </c>
    </row>
    <row r="28" customFormat="false" ht="15" hidden="false" customHeight="false" outlineLevel="0" collapsed="false">
      <c r="A28" s="4" t="s">
        <v>125</v>
      </c>
      <c r="B28" s="16" t="n">
        <f aca="false">MAX(B11/1000,B17/Forutsetninger!B14+B7/1000)</f>
        <v>3.4075</v>
      </c>
      <c r="C28" s="4" t="s">
        <v>108</v>
      </c>
      <c r="D28" s="2" t="s">
        <v>126</v>
      </c>
    </row>
    <row r="29" customFormat="false" ht="15" hidden="false" customHeight="false" outlineLevel="0" collapsed="false">
      <c r="A29" s="4" t="s">
        <v>127</v>
      </c>
      <c r="B29" s="16" t="n">
        <f aca="false">B13/1000</f>
        <v>9.4325</v>
      </c>
      <c r="C29" s="4" t="s">
        <v>108</v>
      </c>
      <c r="D29" s="2" t="s">
        <v>128</v>
      </c>
    </row>
    <row r="30" customFormat="false" ht="15" hidden="false" customHeight="false" outlineLevel="0" collapsed="false">
      <c r="A30" s="14" t="s">
        <v>129</v>
      </c>
      <c r="B30" s="15"/>
      <c r="C30" s="15"/>
      <c r="D30" s="15"/>
    </row>
    <row r="31" customFormat="false" ht="15" hidden="false" customHeight="false" outlineLevel="0" collapsed="false">
      <c r="A31" s="4" t="s">
        <v>130</v>
      </c>
      <c r="B31" s="16" t="n">
        <f aca="false">B24/Forutsetninger!B14</f>
        <v>0.645987654320987</v>
      </c>
      <c r="C31" s="4" t="s">
        <v>85</v>
      </c>
      <c r="D31" s="2" t="s">
        <v>131</v>
      </c>
    </row>
    <row r="32" customFormat="false" ht="15" hidden="false" customHeight="false" outlineLevel="0" collapsed="false">
      <c r="A32" s="4" t="s">
        <v>132</v>
      </c>
      <c r="B32" s="16" t="n">
        <f aca="false">B25/Forutsetninger!B14</f>
        <v>6.64598765432099</v>
      </c>
      <c r="C32" s="4" t="s">
        <v>85</v>
      </c>
      <c r="D32" s="2" t="s">
        <v>131</v>
      </c>
    </row>
    <row r="33" customFormat="false" ht="15" hidden="false" customHeight="false" outlineLevel="0" collapsed="false">
      <c r="A33" s="4" t="s">
        <v>133</v>
      </c>
      <c r="B33" s="16" t="n">
        <f aca="false">B31/Forutsetninger!B15</f>
        <v>0.258395061728395</v>
      </c>
      <c r="C33" s="4" t="s">
        <v>134</v>
      </c>
      <c r="D33" s="2" t="s">
        <v>135</v>
      </c>
    </row>
    <row r="34" customFormat="false" ht="15" hidden="false" customHeight="false" outlineLevel="0" collapsed="false">
      <c r="A34" s="4" t="s">
        <v>136</v>
      </c>
      <c r="B34" s="16" t="n">
        <f aca="false">B32/Forutsetninger!B15</f>
        <v>2.6583950617284</v>
      </c>
      <c r="C34" s="4" t="s">
        <v>134</v>
      </c>
      <c r="D34" s="2" t="s">
        <v>135</v>
      </c>
    </row>
    <row r="35" customFormat="false" ht="15" hidden="false" customHeight="false" outlineLevel="0" collapsed="false">
      <c r="A35" s="4" t="s">
        <v>137</v>
      </c>
      <c r="B35" s="17" t="n">
        <f aca="false">B34*Forutsetninger!B16+B33*Forutsetninger!B17</f>
        <v>28.7956790123457</v>
      </c>
      <c r="C35" s="4" t="s">
        <v>134</v>
      </c>
      <c r="D35" s="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30" hidden="false" customHeight="true" outlineLevel="0" collapsed="false">
      <c r="A4" s="9" t="s">
        <v>141</v>
      </c>
      <c r="B4" s="9" t="s">
        <v>142</v>
      </c>
      <c r="C4" s="9" t="s">
        <v>143</v>
      </c>
      <c r="D4" s="9" t="s">
        <v>17</v>
      </c>
      <c r="E4" s="9" t="s">
        <v>144</v>
      </c>
      <c r="F4" s="9" t="s">
        <v>145</v>
      </c>
      <c r="G4" s="9" t="s">
        <v>146</v>
      </c>
      <c r="H4" s="9" t="s">
        <v>147</v>
      </c>
    </row>
    <row r="5" customFormat="false" ht="15" hidden="false" customHeight="false" outlineLevel="0" collapsed="false">
      <c r="A5" s="18" t="s">
        <v>148</v>
      </c>
      <c r="B5" s="10" t="n">
        <v>31</v>
      </c>
      <c r="C5" s="10" t="n">
        <v>108</v>
      </c>
      <c r="D5" s="19" t="n">
        <f aca="false">C5/10/B5</f>
        <v>0.348387096774194</v>
      </c>
      <c r="E5" s="16" t="n">
        <f aca="false">D5*Forutsetninger!$B$12*Forutsetninger!$B$11</f>
        <v>0.627096774193548</v>
      </c>
      <c r="F5" s="16" t="n">
        <f aca="false">Resultat!$B$15</f>
        <v>6.70138888888889</v>
      </c>
      <c r="G5" s="20" t="n">
        <f aca="false">E5-F5</f>
        <v>-6.07429211469534</v>
      </c>
      <c r="H5" s="21" t="n">
        <f aca="false">MIN(1,E5/F5)</f>
        <v>0.0935771352164466</v>
      </c>
    </row>
    <row r="6" customFormat="false" ht="15" hidden="false" customHeight="false" outlineLevel="0" collapsed="false">
      <c r="A6" s="18" t="s">
        <v>149</v>
      </c>
      <c r="B6" s="10" t="n">
        <v>28</v>
      </c>
      <c r="C6" s="10" t="n">
        <v>208</v>
      </c>
      <c r="D6" s="19" t="n">
        <f aca="false">C6/10/B6</f>
        <v>0.742857142857143</v>
      </c>
      <c r="E6" s="16" t="n">
        <f aca="false">D6*Forutsetninger!$B$12*Forutsetninger!$B$11</f>
        <v>1.33714285714286</v>
      </c>
      <c r="F6" s="16" t="n">
        <f aca="false">Resultat!$B$15</f>
        <v>6.70138888888889</v>
      </c>
      <c r="G6" s="20" t="n">
        <f aca="false">E6-F6</f>
        <v>-5.36424603174603</v>
      </c>
      <c r="H6" s="21" t="n">
        <f aca="false">MIN(1,E6/F6)</f>
        <v>0.199532198371577</v>
      </c>
    </row>
    <row r="7" customFormat="false" ht="15" hidden="false" customHeight="false" outlineLevel="0" collapsed="false">
      <c r="A7" s="18" t="s">
        <v>150</v>
      </c>
      <c r="B7" s="10" t="n">
        <v>30</v>
      </c>
      <c r="C7" s="10" t="n">
        <v>1309</v>
      </c>
      <c r="D7" s="19" t="n">
        <f aca="false">C7/10/B7</f>
        <v>4.36333333333333</v>
      </c>
      <c r="E7" s="16" t="n">
        <f aca="false">D7*Forutsetninger!$B$12*Forutsetninger!$B$11</f>
        <v>7.854</v>
      </c>
      <c r="F7" s="16" t="n">
        <f aca="false">Resultat!$B$15</f>
        <v>6.70138888888889</v>
      </c>
      <c r="G7" s="20" t="n">
        <f aca="false">E7-F7</f>
        <v>1.15261111111111</v>
      </c>
      <c r="H7" s="21" t="n">
        <f aca="false">MIN(1,E7/F7)</f>
        <v>1</v>
      </c>
    </row>
    <row r="8" customFormat="false" ht="15" hidden="false" customHeight="false" outlineLevel="0" collapsed="false">
      <c r="A8" s="18" t="s">
        <v>151</v>
      </c>
      <c r="B8" s="10" t="n">
        <v>31</v>
      </c>
      <c r="C8" s="10" t="n">
        <v>1672</v>
      </c>
      <c r="D8" s="19" t="n">
        <f aca="false">C8/10/B8</f>
        <v>5.39354838709677</v>
      </c>
      <c r="E8" s="16" t="n">
        <f aca="false">D8*Forutsetninger!$B$12*Forutsetninger!$B$11</f>
        <v>9.70838709677419</v>
      </c>
      <c r="F8" s="16" t="n">
        <f aca="false">Resultat!$B$15</f>
        <v>6.70138888888889</v>
      </c>
      <c r="G8" s="20" t="n">
        <f aca="false">E8-F8</f>
        <v>3.00699820788531</v>
      </c>
      <c r="H8" s="21" t="n">
        <f aca="false">MIN(1,E8/F8)</f>
        <v>1</v>
      </c>
    </row>
    <row r="9" customFormat="false" ht="15" hidden="false" customHeight="false" outlineLevel="0" collapsed="false">
      <c r="A9" s="18" t="s">
        <v>152</v>
      </c>
      <c r="B9" s="10" t="n">
        <v>30</v>
      </c>
      <c r="C9" s="10" t="n">
        <v>1597</v>
      </c>
      <c r="D9" s="19" t="n">
        <f aca="false">C9/10/B9</f>
        <v>5.32333333333333</v>
      </c>
      <c r="E9" s="16" t="n">
        <f aca="false">D9*Forutsetninger!$B$12*Forutsetninger!$B$11</f>
        <v>9.582</v>
      </c>
      <c r="F9" s="16" t="n">
        <f aca="false">Resultat!$B$15</f>
        <v>6.70138888888889</v>
      </c>
      <c r="G9" s="20" t="n">
        <f aca="false">E9-F9</f>
        <v>2.88061111111111</v>
      </c>
      <c r="H9" s="21" t="n">
        <f aca="false">MIN(1,E9/F9)</f>
        <v>1</v>
      </c>
    </row>
    <row r="10" customFormat="false" ht="15" hidden="false" customHeight="false" outlineLevel="0" collapsed="false">
      <c r="A10" s="18" t="s">
        <v>153</v>
      </c>
      <c r="B10" s="10" t="n">
        <v>31</v>
      </c>
      <c r="C10" s="10" t="n">
        <v>1584</v>
      </c>
      <c r="D10" s="19" t="n">
        <f aca="false">C10/10/B10</f>
        <v>5.10967741935484</v>
      </c>
      <c r="E10" s="16" t="n">
        <f aca="false">D10*Forutsetninger!$B$12*Forutsetninger!$B$11</f>
        <v>9.19741935483871</v>
      </c>
      <c r="F10" s="16" t="n">
        <f aca="false">Resultat!$B$15</f>
        <v>6.70138888888889</v>
      </c>
      <c r="G10" s="20" t="n">
        <f aca="false">E10-F10</f>
        <v>2.49603046594982</v>
      </c>
      <c r="H10" s="21" t="n">
        <f aca="false">MIN(1,E10/F10)</f>
        <v>1</v>
      </c>
    </row>
    <row r="11" customFormat="false" ht="15" hidden="false" customHeight="false" outlineLevel="0" collapsed="false">
      <c r="A11" s="18" t="s">
        <v>154</v>
      </c>
      <c r="B11" s="10" t="n">
        <v>31</v>
      </c>
      <c r="C11" s="10" t="n">
        <v>1309</v>
      </c>
      <c r="D11" s="19" t="n">
        <f aca="false">C11/10/B11</f>
        <v>4.22258064516129</v>
      </c>
      <c r="E11" s="16" t="n">
        <f aca="false">D11*Forutsetninger!$B$12*Forutsetninger!$B$11</f>
        <v>7.60064516129032</v>
      </c>
      <c r="F11" s="16" t="n">
        <f aca="false">Resultat!$B$15</f>
        <v>6.70138888888889</v>
      </c>
      <c r="G11" s="20" t="n">
        <f aca="false">E11-F11</f>
        <v>0.899256272401434</v>
      </c>
      <c r="H11" s="21" t="n">
        <f aca="false">MIN(1,E11/F11)</f>
        <v>1</v>
      </c>
    </row>
    <row r="12" customFormat="false" ht="15" hidden="false" customHeight="false" outlineLevel="0" collapsed="false">
      <c r="A12" s="18" t="s">
        <v>155</v>
      </c>
      <c r="B12" s="10" t="n">
        <v>30</v>
      </c>
      <c r="C12" s="10" t="n">
        <v>1014</v>
      </c>
      <c r="D12" s="19" t="n">
        <f aca="false">C12/10/B12</f>
        <v>3.38</v>
      </c>
      <c r="E12" s="16" t="n">
        <f aca="false">D12*Forutsetninger!$B$12*Forutsetninger!$B$11</f>
        <v>6.084</v>
      </c>
      <c r="F12" s="16" t="n">
        <f aca="false">Resultat!$B$15</f>
        <v>6.70138888888889</v>
      </c>
      <c r="G12" s="20" t="n">
        <f aca="false">E12-F12</f>
        <v>-0.617388888888888</v>
      </c>
      <c r="H12" s="21" t="n">
        <f aca="false">MIN(1,E12/F12)</f>
        <v>0.907871502590674</v>
      </c>
    </row>
    <row r="13" customFormat="false" ht="15" hidden="false" customHeight="false" outlineLevel="0" collapsed="false">
      <c r="A13" s="18" t="s">
        <v>156</v>
      </c>
      <c r="B13" s="10" t="n">
        <v>30</v>
      </c>
      <c r="C13" s="10" t="n">
        <v>267</v>
      </c>
      <c r="D13" s="19" t="n">
        <f aca="false">C13/10/B13</f>
        <v>0.89</v>
      </c>
      <c r="E13" s="16" t="n">
        <f aca="false">D13*Forutsetninger!$B$12*Forutsetninger!$B$11</f>
        <v>1.602</v>
      </c>
      <c r="F13" s="16" t="n">
        <f aca="false">Resultat!$B$15</f>
        <v>6.70138888888889</v>
      </c>
      <c r="G13" s="20" t="n">
        <f aca="false">E13-F13</f>
        <v>-5.09938888888889</v>
      </c>
      <c r="H13" s="21" t="n">
        <f aca="false">MIN(1,E13/F13)</f>
        <v>0.239054922279793</v>
      </c>
    </row>
    <row r="14" customFormat="false" ht="15" hidden="false" customHeight="false" outlineLevel="0" collapsed="false">
      <c r="A14" s="18" t="s">
        <v>157</v>
      </c>
      <c r="B14" s="10" t="n">
        <v>31</v>
      </c>
      <c r="C14" s="10" t="n">
        <v>126</v>
      </c>
      <c r="D14" s="19" t="n">
        <f aca="false">C14/10/B14</f>
        <v>0.406451612903226</v>
      </c>
      <c r="E14" s="16" t="n">
        <f aca="false">D14*Forutsetninger!$B$12*Forutsetninger!$B$11</f>
        <v>0.731612903225806</v>
      </c>
      <c r="F14" s="16" t="n">
        <f aca="false">Resultat!$B$15</f>
        <v>6.70138888888889</v>
      </c>
      <c r="G14" s="20" t="n">
        <f aca="false">E14-F14</f>
        <v>-5.96977598566308</v>
      </c>
      <c r="H14" s="21" t="n">
        <f aca="false">MIN(1,E14/F14)</f>
        <v>0.109173324419188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4" t="s">
        <v>160</v>
      </c>
      <c r="B4" s="10" t="n">
        <v>115</v>
      </c>
      <c r="C4" s="2" t="s">
        <v>161</v>
      </c>
    </row>
    <row r="5" customFormat="false" ht="15" hidden="false" customHeight="false" outlineLevel="0" collapsed="false">
      <c r="A5" s="4" t="s">
        <v>162</v>
      </c>
      <c r="B5" s="10" t="n">
        <v>2</v>
      </c>
      <c r="C5" s="2" t="s">
        <v>163</v>
      </c>
    </row>
    <row r="7" customFormat="false" ht="30" hidden="false" customHeight="true" outlineLevel="0" collapsed="false">
      <c r="A7" s="9" t="s">
        <v>141</v>
      </c>
      <c r="B7" s="9" t="s">
        <v>142</v>
      </c>
      <c r="C7" s="9" t="s">
        <v>164</v>
      </c>
      <c r="D7" s="9" t="s">
        <v>165</v>
      </c>
      <c r="E7" s="9" t="s">
        <v>166</v>
      </c>
      <c r="F7" s="9" t="s">
        <v>167</v>
      </c>
      <c r="G7" s="9" t="s">
        <v>147</v>
      </c>
      <c r="H7" s="9" t="s">
        <v>5</v>
      </c>
    </row>
    <row r="8" customFormat="false" ht="15" hidden="false" customHeight="false" outlineLevel="0" collapsed="false">
      <c r="A8" s="18" t="s">
        <v>148</v>
      </c>
      <c r="B8" s="17" t="n">
        <f aca="false">'Sol Kragerø'!B5</f>
        <v>31</v>
      </c>
      <c r="C8" s="10" t="n">
        <v>0</v>
      </c>
      <c r="D8" s="16" t="n">
        <f aca="false">C8*Resultat!$B$15+(B8-C8)*$B$4*24/1000</f>
        <v>85.56</v>
      </c>
      <c r="E8" s="16" t="n">
        <f aca="false">'Sol Kragerø'!E5*B8</f>
        <v>19.44</v>
      </c>
      <c r="F8" s="20" t="n">
        <f aca="false">E8-D8</f>
        <v>-66.12</v>
      </c>
      <c r="G8" s="21" t="n">
        <f aca="false">MIN(1,E8/D8)</f>
        <v>0.227208976157083</v>
      </c>
      <c r="H8" s="2" t="s">
        <v>168</v>
      </c>
    </row>
    <row r="9" customFormat="false" ht="15" hidden="false" customHeight="false" outlineLevel="0" collapsed="false">
      <c r="A9" s="18" t="s">
        <v>149</v>
      </c>
      <c r="B9" s="17" t="n">
        <f aca="false">'Sol Kragerø'!B6</f>
        <v>28</v>
      </c>
      <c r="C9" s="10" t="n">
        <v>0</v>
      </c>
      <c r="D9" s="16" t="n">
        <f aca="false">C9*Resultat!$B$15+(B9-C9)*$B$4*24/1000</f>
        <v>77.28</v>
      </c>
      <c r="E9" s="16" t="n">
        <f aca="false">'Sol Kragerø'!E6*B9</f>
        <v>37.44</v>
      </c>
      <c r="F9" s="20" t="n">
        <f aca="false">E9-D9</f>
        <v>-39.84</v>
      </c>
      <c r="G9" s="21" t="n">
        <f aca="false">MIN(1,E9/D9)</f>
        <v>0.484472049689441</v>
      </c>
      <c r="H9" s="2" t="s">
        <v>168</v>
      </c>
    </row>
    <row r="10" customFormat="false" ht="15" hidden="false" customHeight="false" outlineLevel="0" collapsed="false">
      <c r="A10" s="18" t="s">
        <v>150</v>
      </c>
      <c r="B10" s="17" t="n">
        <f aca="false">'Sol Kragerø'!B7</f>
        <v>30</v>
      </c>
      <c r="C10" s="10" t="n">
        <v>4</v>
      </c>
      <c r="D10" s="16" t="n">
        <f aca="false">C10*Resultat!$B$15+(B10-C10)*$B$4*24/1000</f>
        <v>98.5655555555556</v>
      </c>
      <c r="E10" s="16" t="n">
        <f aca="false">'Sol Kragerø'!E7*B10</f>
        <v>235.62</v>
      </c>
      <c r="F10" s="20" t="n">
        <f aca="false">E10-D10</f>
        <v>137.054444444444</v>
      </c>
      <c r="G10" s="21" t="n">
        <f aca="false">MIN(1,E10/D10)</f>
        <v>1</v>
      </c>
      <c r="H10" s="2" t="s">
        <v>169</v>
      </c>
    </row>
    <row r="11" customFormat="false" ht="15" hidden="false" customHeight="false" outlineLevel="0" collapsed="false">
      <c r="A11" s="18" t="s">
        <v>151</v>
      </c>
      <c r="B11" s="17" t="n">
        <f aca="false">'Sol Kragerø'!B8</f>
        <v>31</v>
      </c>
      <c r="C11" s="10" t="n">
        <v>8</v>
      </c>
      <c r="D11" s="16" t="n">
        <f aca="false">C11*Resultat!$B$15+(B11-C11)*$B$4*24/1000</f>
        <v>117.091111111111</v>
      </c>
      <c r="E11" s="16" t="n">
        <f aca="false">'Sol Kragerø'!E8*B11</f>
        <v>300.96</v>
      </c>
      <c r="F11" s="20" t="n">
        <f aca="false">E11-D11</f>
        <v>183.868888888889</v>
      </c>
      <c r="G11" s="21" t="n">
        <f aca="false">MIN(1,E11/D11)</f>
        <v>1</v>
      </c>
      <c r="H11" s="2" t="s">
        <v>170</v>
      </c>
    </row>
    <row r="12" customFormat="false" ht="15" hidden="false" customHeight="false" outlineLevel="0" collapsed="false">
      <c r="A12" s="18" t="s">
        <v>152</v>
      </c>
      <c r="B12" s="17" t="n">
        <f aca="false">'Sol Kragerø'!B9</f>
        <v>30</v>
      </c>
      <c r="C12" s="10" t="n">
        <v>23</v>
      </c>
      <c r="D12" s="16" t="n">
        <f aca="false">C12*Resultat!$B$15+(B12-C12)*$B$4*24/1000</f>
        <v>173.451944444444</v>
      </c>
      <c r="E12" s="16" t="n">
        <f aca="false">'Sol Kragerø'!E9*B12</f>
        <v>287.46</v>
      </c>
      <c r="F12" s="20" t="n">
        <f aca="false">E12-D12</f>
        <v>114.008055555556</v>
      </c>
      <c r="G12" s="21" t="n">
        <f aca="false">MIN(1,E12/D12)</f>
        <v>1</v>
      </c>
      <c r="H12" s="2" t="s">
        <v>171</v>
      </c>
    </row>
    <row r="13" customFormat="false" ht="15" hidden="false" customHeight="false" outlineLevel="0" collapsed="false">
      <c r="A13" s="18" t="s">
        <v>153</v>
      </c>
      <c r="B13" s="17" t="n">
        <f aca="false">'Sol Kragerø'!B10</f>
        <v>31</v>
      </c>
      <c r="C13" s="10" t="n">
        <v>31</v>
      </c>
      <c r="D13" s="16" t="n">
        <f aca="false">C13*Resultat!$B$15+(B13-C13)*$B$4*24/1000</f>
        <v>207.743055555556</v>
      </c>
      <c r="E13" s="16" t="n">
        <f aca="false">'Sol Kragerø'!E10*B13</f>
        <v>285.12</v>
      </c>
      <c r="F13" s="20" t="n">
        <f aca="false">E13-D13</f>
        <v>77.3769444444445</v>
      </c>
      <c r="G13" s="21" t="n">
        <f aca="false">MIN(1,E13/D13)</f>
        <v>1</v>
      </c>
      <c r="H13" s="2" t="s">
        <v>172</v>
      </c>
    </row>
    <row r="14" customFormat="false" ht="15" hidden="false" customHeight="false" outlineLevel="0" collapsed="false">
      <c r="A14" s="18" t="s">
        <v>154</v>
      </c>
      <c r="B14" s="17" t="n">
        <f aca="false">'Sol Kragerø'!B11</f>
        <v>31</v>
      </c>
      <c r="C14" s="10" t="n">
        <v>25</v>
      </c>
      <c r="D14" s="16" t="n">
        <f aca="false">C14*Resultat!$B$15+(B14-C14)*$B$4*24/1000</f>
        <v>184.094722222222</v>
      </c>
      <c r="E14" s="16" t="n">
        <f aca="false">'Sol Kragerø'!E11*B14</f>
        <v>235.62</v>
      </c>
      <c r="F14" s="20" t="n">
        <f aca="false">E14-D14</f>
        <v>51.5252777777778</v>
      </c>
      <c r="G14" s="21" t="n">
        <f aca="false">MIN(1,E14/D14)</f>
        <v>1</v>
      </c>
      <c r="H14" s="2" t="s">
        <v>173</v>
      </c>
    </row>
    <row r="15" customFormat="false" ht="15" hidden="false" customHeight="false" outlineLevel="0" collapsed="false">
      <c r="A15" s="18" t="s">
        <v>155</v>
      </c>
      <c r="B15" s="17" t="n">
        <f aca="false">'Sol Kragerø'!B12</f>
        <v>30</v>
      </c>
      <c r="C15" s="10" t="n">
        <v>8</v>
      </c>
      <c r="D15" s="16" t="n">
        <f aca="false">C15*Resultat!$B$15+(B15-C15)*$B$4*24/1000</f>
        <v>114.331111111111</v>
      </c>
      <c r="E15" s="16" t="n">
        <f aca="false">'Sol Kragerø'!E12*B15</f>
        <v>182.52</v>
      </c>
      <c r="F15" s="20" t="n">
        <f aca="false">E15-D15</f>
        <v>68.1888888888889</v>
      </c>
      <c r="G15" s="21" t="n">
        <f aca="false">MIN(1,E15/D15)</f>
        <v>1</v>
      </c>
      <c r="H15" s="2" t="s">
        <v>170</v>
      </c>
    </row>
    <row r="16" customFormat="false" ht="15" hidden="false" customHeight="false" outlineLevel="0" collapsed="false">
      <c r="A16" s="18" t="s">
        <v>156</v>
      </c>
      <c r="B16" s="17" t="n">
        <f aca="false">'Sol Kragerø'!B13</f>
        <v>30</v>
      </c>
      <c r="C16" s="10" t="n">
        <v>0</v>
      </c>
      <c r="D16" s="16" t="n">
        <f aca="false">C16*Resultat!$B$15+(B16-C16)*$B$4*24/1000</f>
        <v>82.8</v>
      </c>
      <c r="E16" s="16" t="n">
        <f aca="false">'Sol Kragerø'!E13*B16</f>
        <v>48.06</v>
      </c>
      <c r="F16" s="20" t="n">
        <f aca="false">E16-D16</f>
        <v>-34.74</v>
      </c>
      <c r="G16" s="21" t="n">
        <f aca="false">MIN(1,E16/D16)</f>
        <v>0.580434782608696</v>
      </c>
      <c r="H16" s="2" t="s">
        <v>168</v>
      </c>
    </row>
    <row r="17" customFormat="false" ht="15" hidden="false" customHeight="false" outlineLevel="0" collapsed="false">
      <c r="A17" s="18" t="s">
        <v>157</v>
      </c>
      <c r="B17" s="17" t="n">
        <f aca="false">'Sol Kragerø'!B14</f>
        <v>31</v>
      </c>
      <c r="C17" s="10" t="n">
        <v>0</v>
      </c>
      <c r="D17" s="16" t="n">
        <f aca="false">C17*Resultat!$B$15+(B17-C17)*$B$4*24/1000</f>
        <v>85.56</v>
      </c>
      <c r="E17" s="16" t="n">
        <f aca="false">'Sol Kragerø'!E14*B17</f>
        <v>22.68</v>
      </c>
      <c r="F17" s="20" t="n">
        <f aca="false">E17-D17</f>
        <v>-62.88</v>
      </c>
      <c r="G17" s="21" t="n">
        <f aca="false">MIN(1,E17/D17)</f>
        <v>0.26507713884993</v>
      </c>
      <c r="H17" s="2" t="s">
        <v>168</v>
      </c>
    </row>
    <row r="19" customFormat="false" ht="15" hidden="false" customHeight="false" outlineLevel="0" collapsed="false">
      <c r="A19" s="12" t="s">
        <v>174</v>
      </c>
      <c r="C19" s="12" t="n">
        <f aca="false">SUM(C8:C17)</f>
        <v>99</v>
      </c>
      <c r="D19" s="22" t="n">
        <f aca="false">SUM(D8:D17)</f>
        <v>1226.4775</v>
      </c>
      <c r="E19" s="22" t="n">
        <f aca="false">SUM(E8:E17)</f>
        <v>1654.92</v>
      </c>
      <c r="F19" s="22" t="n">
        <f aca="false">SUM(F8:F17)</f>
        <v>428.4425</v>
      </c>
    </row>
    <row r="21" customFormat="false" ht="15" hidden="false" customHeight="false" outlineLevel="0" collapsed="false">
      <c r="A21" s="14" t="s">
        <v>175</v>
      </c>
      <c r="B21" s="15"/>
      <c r="C21" s="15"/>
    </row>
    <row r="22" customFormat="false" ht="15" hidden="false" customHeight="false" outlineLevel="0" collapsed="false">
      <c r="A22" s="4" t="s">
        <v>176</v>
      </c>
      <c r="B22" s="16" t="n">
        <f aca="false">$B$5*Resultat!$B$15</f>
        <v>13.4027777777778</v>
      </c>
      <c r="C22" s="2" t="s">
        <v>177</v>
      </c>
    </row>
    <row r="23" customFormat="false" ht="15" hidden="false" customHeight="false" outlineLevel="0" collapsed="false">
      <c r="A23" s="4" t="s">
        <v>178</v>
      </c>
      <c r="B23" s="16" t="n">
        <f aca="false">$B$5*'Sol Kragerø'!E12</f>
        <v>12.168</v>
      </c>
      <c r="C23" s="2" t="s">
        <v>179</v>
      </c>
    </row>
    <row r="24" customFormat="false" ht="15" hidden="false" customHeight="false" outlineLevel="0" collapsed="false">
      <c r="A24" s="4" t="s">
        <v>180</v>
      </c>
      <c r="B24" s="16" t="n">
        <f aca="false">Resultat!B16*Forutsetninger!B6</f>
        <v>6.70138888888889</v>
      </c>
      <c r="C24" s="2" t="s">
        <v>181</v>
      </c>
    </row>
    <row r="25" customFormat="false" ht="15" hidden="false" customHeight="false" outlineLevel="0" collapsed="false">
      <c r="A25" s="4" t="s">
        <v>182</v>
      </c>
      <c r="B25" s="21" t="n">
        <f aca="false">MIN(1,B24/B22)</f>
        <v>0.5</v>
      </c>
      <c r="C25" s="2" t="s">
        <v>183</v>
      </c>
    </row>
    <row r="28" customFormat="false" ht="15" hidden="false" customHeight="false" outlineLevel="0" collapsed="false">
      <c r="A28" s="14" t="s">
        <v>184</v>
      </c>
      <c r="B28" s="15"/>
      <c r="C28" s="15"/>
      <c r="D28" s="15"/>
      <c r="E28" s="15"/>
      <c r="F28" s="15"/>
      <c r="G28" s="15"/>
    </row>
    <row r="29" customFormat="false" ht="30" hidden="false" customHeight="true" outlineLevel="0" collapsed="false">
      <c r="A29" s="9" t="s">
        <v>185</v>
      </c>
      <c r="B29" s="9" t="s">
        <v>186</v>
      </c>
      <c r="C29" s="9" t="s">
        <v>187</v>
      </c>
      <c r="D29" s="9" t="s">
        <v>188</v>
      </c>
      <c r="E29" s="9" t="s">
        <v>189</v>
      </c>
      <c r="F29" s="9" t="s">
        <v>190</v>
      </c>
      <c r="G29" s="9" t="s">
        <v>191</v>
      </c>
    </row>
    <row r="30" customFormat="false" ht="15" hidden="false" customHeight="false" outlineLevel="0" collapsed="false">
      <c r="A30" s="18" t="s">
        <v>192</v>
      </c>
      <c r="B30" s="17" t="n">
        <f aca="false">$B$4</f>
        <v>115</v>
      </c>
      <c r="C30" s="19" t="n">
        <f aca="false">B30*24/1000</f>
        <v>2.76</v>
      </c>
      <c r="D30" s="17" t="n">
        <f aca="false">C30*('Sol Kragerø'!B5+'Sol Kragerø'!B6+'Sol Kragerø'!B13+'Sol Kragerø'!B14)</f>
        <v>331.2</v>
      </c>
      <c r="E30" s="17" t="n">
        <f aca="false">'Sol Kragerø'!E5*'Sol Kragerø'!B5+'Sol Kragerø'!E6*'Sol Kragerø'!B6+'Sol Kragerø'!E13*'Sol Kragerø'!B13+'Sol Kragerø'!E14*'Sol Kragerø'!B14</f>
        <v>127.62</v>
      </c>
      <c r="F30" s="17" t="n">
        <f aca="false">MAX(0,D30-E30)</f>
        <v>203.58</v>
      </c>
      <c r="G30" s="17" t="n">
        <f aca="false">F30/Forutsetninger!$B$14/Forutsetninger!$B$15</f>
        <v>90.48</v>
      </c>
    </row>
    <row r="31" customFormat="false" ht="15" hidden="false" customHeight="false" outlineLevel="0" collapsed="false">
      <c r="A31" s="18" t="s">
        <v>193</v>
      </c>
      <c r="B31" s="8" t="n">
        <v>38</v>
      </c>
      <c r="C31" s="19" t="n">
        <f aca="false">B31*24/1000</f>
        <v>0.912</v>
      </c>
      <c r="D31" s="17" t="n">
        <f aca="false">C31*('Sol Kragerø'!B5+'Sol Kragerø'!B6+'Sol Kragerø'!B13+'Sol Kragerø'!B14)</f>
        <v>109.44</v>
      </c>
      <c r="E31" s="17" t="n">
        <f aca="false">'Sol Kragerø'!E5*'Sol Kragerø'!B5+'Sol Kragerø'!E6*'Sol Kragerø'!B6+'Sol Kragerø'!E13*'Sol Kragerø'!B13+'Sol Kragerø'!E14*'Sol Kragerø'!B14</f>
        <v>127.62</v>
      </c>
      <c r="F31" s="17" t="n">
        <f aca="false">MAX(0,D31-E31)</f>
        <v>0</v>
      </c>
      <c r="G31" s="17" t="n">
        <f aca="false">F31/Forutsetninger!$B$14/Forutsetninger!$B$15</f>
        <v>0</v>
      </c>
    </row>
    <row r="32" customFormat="false" ht="15" hidden="false" customHeight="false" outlineLevel="0" collapsed="false">
      <c r="A32" s="18" t="s">
        <v>194</v>
      </c>
      <c r="B32" s="8" t="n">
        <v>13</v>
      </c>
      <c r="C32" s="19" t="n">
        <f aca="false">B32*24/1000</f>
        <v>0.312</v>
      </c>
      <c r="D32" s="17" t="n">
        <f aca="false">C32*('Sol Kragerø'!B5+'Sol Kragerø'!B6+'Sol Kragerø'!B13+'Sol Kragerø'!B14)</f>
        <v>37.44</v>
      </c>
      <c r="E32" s="17" t="n">
        <f aca="false">'Sol Kragerø'!E5*'Sol Kragerø'!B5+'Sol Kragerø'!E6*'Sol Kragerø'!B6+'Sol Kragerø'!E13*'Sol Kragerø'!B13+'Sol Kragerø'!E14*'Sol Kragerø'!B14</f>
        <v>127.62</v>
      </c>
      <c r="F32" s="17" t="n">
        <f aca="false">MAX(0,D32-E32)</f>
        <v>0</v>
      </c>
      <c r="G32" s="17" t="n">
        <f aca="false">F32/Forutsetninger!$B$14/Forutsetninger!$B$15</f>
        <v>0</v>
      </c>
    </row>
    <row r="33" customFormat="false" ht="15" hidden="false" customHeight="false" outlineLevel="0" collapsed="false">
      <c r="A33" s="18" t="s">
        <v>195</v>
      </c>
      <c r="B33" s="17" t="n">
        <f aca="false">(70+12+25)*1/24+8</f>
        <v>12.4583333333333</v>
      </c>
      <c r="C33" s="19" t="n">
        <f aca="false">B33*24/1000</f>
        <v>0.299</v>
      </c>
      <c r="D33" s="17" t="n">
        <f aca="false">C33*('Sol Kragerø'!B5+'Sol Kragerø'!B6+'Sol Kragerø'!B13+'Sol Kragerø'!B14)</f>
        <v>35.88</v>
      </c>
      <c r="E33" s="17" t="n">
        <f aca="false">'Sol Kragerø'!E5*'Sol Kragerø'!B5+'Sol Kragerø'!E6*'Sol Kragerø'!B6+'Sol Kragerø'!E13*'Sol Kragerø'!B13+'Sol Kragerø'!E14*'Sol Kragerø'!B14</f>
        <v>127.62</v>
      </c>
      <c r="F33" s="17" t="n">
        <f aca="false">MAX(0,D33-E33)</f>
        <v>0</v>
      </c>
      <c r="G33" s="17" t="n">
        <f aca="false">F33/Forutsetninger!$B$14/Forutsetninger!$B$15</f>
        <v>0</v>
      </c>
    </row>
    <row r="35" customFormat="false" ht="15" hidden="false" customHeight="false" outlineLevel="0" collapsed="false">
      <c r="A35" s="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2026-10-03T10:55:47Z</dcterms:created>
  <dc:creator>openpyxl</dc:creator>
  <dc:description/>
  <dc:language>en-US</dc:language>
  <cp:lastModifiedBy/>
  <dcterms:modified xsi:type="dcterms:W3CDTF">2026-10-03T10:55:47Z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